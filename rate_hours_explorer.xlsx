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e Explorer" sheetId="1" state="visible" r:id="rId3"/>
    <sheet name="Regime Ordinari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<sst xmlns="http://schemas.openxmlformats.org/spreadsheetml/2006/main" count="161" uniqueCount="113">
  <si>
    <t xml:space="preserve">RATE &amp; HOURS EXPLORER — Regime Forfettario</t>
  </si>
  <si>
    <t xml:space="preserve">Edit the yellow cells (rate, hours) — everything else recalculates automatically</t>
  </si>
  <si>
    <t xml:space="preserve">ASSUMPTIONS — EDIT IF YOU CONFIRM DIFFERENT FIGURES</t>
  </si>
  <si>
    <t xml:space="preserve">Parameter</t>
  </si>
  <si>
    <t xml:space="preserve">Value</t>
  </si>
  <si>
    <t xml:space="preserve">Notes</t>
  </si>
  <si>
    <t xml:space="preserve">Teaching coefficient (redditività)</t>
  </si>
  <si>
    <t xml:space="preserve">ATECO 85.59.x — confirm exact code with accountant</t>
  </si>
  <si>
    <t xml:space="preserve">IT services coefficient (redditività)</t>
  </si>
  <si>
    <t xml:space="preserve">ATECO 62.0x "altre attività" group — confirm</t>
  </si>
  <si>
    <t xml:space="preserve">INPS Gestione Separata rate</t>
  </si>
  <si>
    <t xml:space="preserve">Assumes no other compulsory pension cover</t>
  </si>
  <si>
    <t xml:space="preserve">Tax substitute rate (imposta sostitutiva)</t>
  </si>
  <si>
    <t xml:space="preserve">5% = years 1–5 start-up rate; change to 0.15 to test post-year-5</t>
  </si>
  <si>
    <t xml:space="preserve">EMPLOYER BASELINE — REFERENCE ONLY (what the school currently pays)</t>
  </si>
  <si>
    <t xml:space="preserve">Item</t>
  </si>
  <si>
    <t xml:space="preserve">Monthly (€)</t>
  </si>
  <si>
    <t xml:space="preserve">Gross payable (avg. of your payslips)</t>
  </si>
  <si>
    <t xml:space="preserve">INPS employer rate (estimate — unconfirmed)</t>
  </si>
  <si>
    <t xml:space="preserve">You could not confirm this; standard private-sector estimate used</t>
  </si>
  <si>
    <t xml:space="preserve">INAIL rate (estimate — unconfirmed)</t>
  </si>
  <si>
    <t xml:space="preserve">Typical low-risk teaching rate; unconfirmed</t>
  </si>
  <si>
    <t xml:space="preserve">TFR (severance, from payslip)</t>
  </si>
  <si>
    <t xml:space="preserve">Lost bonuses (state tax credits, disappear as contractor)</t>
  </si>
  <si>
    <t xml:space="preserve">ANNUAL employer cost — excl. bonuses</t>
  </si>
  <si>
    <t xml:space="preserve">ANNUAL employer cost — incl. lost bonuses</t>
  </si>
  <si>
    <t xml:space="preserve">YOUR SCENARIOS — EDIT RATE &amp; HOURS FREELY (yellow cells)</t>
  </si>
  <si>
    <t xml:space="preserve">Scenario 1</t>
  </si>
  <si>
    <t xml:space="preserve">Scenario 2</t>
  </si>
  <si>
    <t xml:space="preserve">Scenario 3</t>
  </si>
  <si>
    <t xml:space="preserve">Teaching — Hourly Rate (€)</t>
  </si>
  <si>
    <t xml:space="preserve">Teaching — Annual Hours</t>
  </si>
  <si>
    <t xml:space="preserve">Sc.1: 9h/wk×41wk = 369. Sc.2: +20h. Sc.3: +20h more.</t>
  </si>
  <si>
    <t xml:space="preserve">Teaching — Annual Revenue</t>
  </si>
  <si>
    <t xml:space="preserve">IT Support/Dev — Hourly Rate (€)</t>
  </si>
  <si>
    <t xml:space="preserve">IT Support/Dev — Annual Hours</t>
  </si>
  <si>
    <t xml:space="preserve">Sc.1: none. Sc.2: 6h/wk×46wk=276. Sc.3: 12h/wk×46wk=552.</t>
  </si>
  <si>
    <t xml:space="preserve">IT Support/Dev — Annual Revenue</t>
  </si>
  <si>
    <t xml:space="preserve">TOTAL Annual Billable Hours</t>
  </si>
  <si>
    <t xml:space="preserve">TOTAL Annual Revenue (invoiced)</t>
  </si>
  <si>
    <t xml:space="preserve">vs Employer Baseline — excl. bonuses (B18)</t>
  </si>
  <si>
    <t xml:space="preserve">Positive = you invoice more than the school currently pays</t>
  </si>
  <si>
    <t xml:space="preserve">vs Employer Baseline — incl. lost bonuses (B19)</t>
  </si>
  <si>
    <t xml:space="preserve">Positive = you cover the bonus/TFR shortfall too</t>
  </si>
  <si>
    <t xml:space="preserve">TAX &amp; CONTRIBUTIONS (Regime Forfettario)</t>
  </si>
  <si>
    <t xml:space="preserve">Taxable Income</t>
  </si>
  <si>
    <t xml:space="preserve">Teaching revenue x teaching coeff. + IT revenue x IT coeff.</t>
  </si>
  <si>
    <t xml:space="preserve">INPS Gestione Separata</t>
  </si>
  <si>
    <t xml:space="preserve">Tax Substitute (imposta sostitutiva)</t>
  </si>
  <si>
    <t xml:space="preserve">Correctly applied to taxable income AFTER deducting INPS (per Italian law)</t>
  </si>
  <si>
    <t xml:space="preserve">Total Tax + Contributions</t>
  </si>
  <si>
    <t xml:space="preserve">NET ANNUAL (take-home)</t>
  </si>
  <si>
    <t xml:space="preserve">NET MONTHLY (take-home)</t>
  </si>
  <si>
    <t xml:space="preserve">EFFECTIVE RESULTS</t>
  </si>
  <si>
    <t xml:space="preserve">Net €/hour — blended (all work)</t>
  </si>
  <si>
    <t xml:space="preserve">Net margin kept (% of revenue invoiced)</t>
  </si>
  <si>
    <t xml:space="preserve">Net annual ÷ total revenue invoiced</t>
  </si>
  <si>
    <t xml:space="preserve">REGIME ORDINARIO — Set Your Own Rates</t>
  </si>
  <si>
    <t xml:space="preserve">Hourly rates below are independent of Sheet 1. Hours are linked from 'Rate Explorer' (grey cells) — change hours there.</t>
  </si>
  <si>
    <t xml:space="preserve">ASSUMPTIONS — EDIT FREELY (independent from Sheet 1)</t>
  </si>
  <si>
    <t xml:space="preserve">Deductible expenses (% of revenue)</t>
  </si>
  <si>
    <t xml:space="preserve">YOUR real costs - laptop, software, commercialista, travel, etc. Adjust to your real estimate.</t>
  </si>
  <si>
    <t xml:space="preserve">Same legal rate as Sheet 1 - kept independent here for flexibility</t>
  </si>
  <si>
    <t xml:space="preserve">No-tax area threshold (autonomi)</t>
  </si>
  <si>
    <t xml:space="preserve">2026: below ~EUR 5,500 taxable income, IRPEF approx EUR 0 (simplified - real mechanism phases in via detrazioni)</t>
  </si>
  <si>
    <t xml:space="preserve">IRPEF Bracket 1 ceiling (EUR)</t>
  </si>
  <si>
    <t xml:space="preserve">IRPEF Bracket 1 rate</t>
  </si>
  <si>
    <t xml:space="preserve">IRPEF Bracket 2 ceiling (EUR)</t>
  </si>
  <si>
    <t xml:space="preserve">IRPEF Bracket 2 rate</t>
  </si>
  <si>
    <t xml:space="preserve">2026 rate: reduced from 35% to 33% by the 2026 Budget Law</t>
  </si>
  <si>
    <t xml:space="preserve">IRPEF Bracket 3 rate (above ceiling 2)</t>
  </si>
  <si>
    <t xml:space="preserve">Regional addizionale (avg.)</t>
  </si>
  <si>
    <t xml:space="preserve">Varies 1.23%-3.33% by region - check your region</t>
  </si>
  <si>
    <t xml:space="preserve">Municipal addizionale (avg.)</t>
  </si>
  <si>
    <t xml:space="preserve">Varies 0%-0.8% by comune - check yours</t>
  </si>
  <si>
    <t xml:space="preserve">VAT rate (IVA)</t>
  </si>
  <si>
    <t xml:space="preserve">Added ON TOP of your invoice. Does not affect your net - but the client pays more.</t>
  </si>
  <si>
    <t xml:space="preserve">YOUR RATES (edit here) &amp; HOURS (linked from 'Rate Explorer')</t>
  </si>
  <si>
    <t xml:space="preserve">Teaching - Hourly Rate (EUR)</t>
  </si>
  <si>
    <t xml:space="preserve">INDEPENDENT of Sheet 1 - set whatever rate you want to test here</t>
  </si>
  <si>
    <t xml:space="preserve">Teaching - Annual Hours</t>
  </si>
  <si>
    <t xml:space="preserve">Linked from 'Rate Explorer' row 24 - edit hours there, not here</t>
  </si>
  <si>
    <t xml:space="preserve">Teaching - Annual Revenue</t>
  </si>
  <si>
    <t xml:space="preserve">IT Support/Dev - Hourly Rate (EUR)</t>
  </si>
  <si>
    <t xml:space="preserve">IT Support/Dev - Annual Hours</t>
  </si>
  <si>
    <t xml:space="preserve">Linked from 'Rate Explorer' row 28 - edit hours there, not here</t>
  </si>
  <si>
    <t xml:space="preserve">IT Support/Dev - Annual Revenue</t>
  </si>
  <si>
    <t xml:space="preserve">TOTAL Annual Hours</t>
  </si>
  <si>
    <t xml:space="preserve">TOTAL Annual Revenue (compenso)</t>
  </si>
  <si>
    <t xml:space="preserve">Invoice Total incl. VAT (informational)</t>
  </si>
  <si>
    <t xml:space="preserve">What the client actually pays - VAT collected &amp; remitted, doesn't change your net</t>
  </si>
  <si>
    <t xml:space="preserve">TAX &amp; CONTRIBUTIONS (Regime Ordinario)</t>
  </si>
  <si>
    <t xml:space="preserve">Deductible Expenses</t>
  </si>
  <si>
    <t xml:space="preserve">Net Professional Income</t>
  </si>
  <si>
    <t xml:space="preserve">IRPEF Taxable Base (net of INPS)</t>
  </si>
  <si>
    <t xml:space="preserve">IRPEF (progressive, with no-tax area)</t>
  </si>
  <si>
    <t xml:space="preserve">Simplified: 0 below threshold; otherwise full progressive brackets</t>
  </si>
  <si>
    <t xml:space="preserve">Regional + Municipal Addizionali</t>
  </si>
  <si>
    <t xml:space="preserve">Total Tax (IRPEF + addizionali)</t>
  </si>
  <si>
    <t xml:space="preserve">vs EMPLOYER BASELINE - LINKED FROM 'Rate Explorer'</t>
  </si>
  <si>
    <t xml:space="preserve">vs Baseline - excl. bonuses</t>
  </si>
  <si>
    <t xml:space="preserve">Total revenue invoiced vs what school currently pays (excl. lost bonuses)</t>
  </si>
  <si>
    <t xml:space="preserve">vs Baseline - incl. lost bonuses</t>
  </si>
  <si>
    <t xml:space="preserve">Total revenue invoiced vs full cost incl. lost bonuses/TFR</t>
  </si>
  <si>
    <t xml:space="preserve">Net EUR/hour - blended (all work)</t>
  </si>
  <si>
    <t xml:space="preserve">FORFETTARIO vs ORDINARIO - WHICH PAYS MORE NET?</t>
  </si>
  <si>
    <t xml:space="preserve">Forfettario Net Annual</t>
  </si>
  <si>
    <t xml:space="preserve">From Sheet 1 - uses Sheet 1's OWN rates, not the rates set above</t>
  </si>
  <si>
    <t xml:space="preserve">Ordinario Net Annual</t>
  </si>
  <si>
    <t xml:space="preserve">From this sheet, using the rates set above</t>
  </si>
  <si>
    <t xml:space="preserve">Difference (Ordinario minus Forfettario)</t>
  </si>
  <si>
    <t xml:space="preserve">Only a fair comparison if rates here MATCH Sheet 1 rates. If you set different rates above, this compares those choices, not the regimes.</t>
  </si>
  <si>
    <t xml:space="preserve">Better Regime (at the rates set above)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</si>
</sst>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0.00%"/>
    <numFmt numFmtId="167" formatCode="#,##0.00"/>
    <numFmt numFmtId="168" formatCode="0"/>
    <numFmt numFmtId="169" formatCode="0.0%"/>
    <numFmt numFmtId="170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666666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666666"/>
      </patternFill>
    </fill>
    <fill>
      <patternFill patternType="solid">
        <fgColor rgb="FFB4C7E7"/>
        <bgColor rgb="FF99CCFF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7E6E6"/>
      </patternFill>
    </fill>
    <fill>
      <patternFill patternType="solid">
        <fgColor rgb="FFC6E0B4"/>
        <bgColor rgb="FFC6EFCE"/>
      </patternFill>
    </fill>
    <fill>
      <patternFill patternType="solid">
        <fgColor rgb="FFE7E6E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6609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true" showOutlineSymbols="true" defaultGridColor="true" view="normal" topLeftCell="A23" colorId="64" zoomScale="100" zoomScaleNormal="100" zoomScalePageLayoutView="100" workbookViewId="0">
      <pane xSplit="1" ySplit="0" topLeftCell="B23" activePane="topRight" state="frozen"/>
      <selection pane="topLeft" activeCell="A23" activeCellId="0" sqref="A23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4" t="s">
        <v>4</v>
      </c>
      <c r="C5" s="4"/>
      <c r="D5" s="4"/>
      <c r="E5" s="4" t="s">
        <v>5</v>
      </c>
    </row>
    <row r="6" customFormat="false" ht="15" hidden="false" customHeight="false" outlineLevel="0" collapsed="false">
      <c r="A6" s="5" t="s">
        <v>6</v>
      </c>
      <c r="B6" s="6" t="n">
        <v>0.78</v>
      </c>
      <c r="C6" s="6"/>
      <c r="D6" s="6"/>
      <c r="E6" s="7" t="s">
        <v>7</v>
      </c>
    </row>
    <row r="7" customFormat="false" ht="15" hidden="false" customHeight="false" outlineLevel="0" collapsed="false">
      <c r="A7" s="5" t="s">
        <v>8</v>
      </c>
      <c r="B7" s="6" t="n">
        <v>0.67</v>
      </c>
      <c r="C7" s="6"/>
      <c r="D7" s="6"/>
      <c r="E7" s="7" t="s">
        <v>9</v>
      </c>
    </row>
    <row r="8" customFormat="false" ht="15" hidden="false" customHeight="false" outlineLevel="0" collapsed="false">
      <c r="A8" s="5" t="s">
        <v>10</v>
      </c>
      <c r="B8" s="8" t="n">
        <v>0.2607</v>
      </c>
      <c r="C8" s="8"/>
      <c r="D8" s="8"/>
      <c r="E8" s="7" t="s">
        <v>11</v>
      </c>
    </row>
    <row r="9" customFormat="false" ht="22.35" hidden="false" customHeight="false" outlineLevel="0" collapsed="false">
      <c r="A9" s="5" t="s">
        <v>12</v>
      </c>
      <c r="B9" s="6" t="n">
        <v>0.05</v>
      </c>
      <c r="C9" s="6"/>
      <c r="D9" s="6"/>
      <c r="E9" s="7" t="s">
        <v>13</v>
      </c>
    </row>
    <row r="11" customFormat="false" ht="15" hidden="false" customHeight="false" outlineLevel="0" collapsed="false">
      <c r="A11" s="3" t="s">
        <v>14</v>
      </c>
      <c r="B11" s="3"/>
      <c r="C11" s="3"/>
      <c r="D11" s="3"/>
      <c r="E11" s="3"/>
    </row>
    <row r="12" customFormat="false" ht="15" hidden="false" customHeight="false" outlineLevel="0" collapsed="false">
      <c r="A12" s="4" t="s">
        <v>15</v>
      </c>
      <c r="B12" s="4" t="s">
        <v>16</v>
      </c>
      <c r="C12" s="4"/>
      <c r="D12" s="4"/>
      <c r="E12" s="4" t="s">
        <v>5</v>
      </c>
    </row>
    <row r="13" customFormat="false" ht="15" hidden="false" customHeight="false" outlineLevel="0" collapsed="false">
      <c r="A13" s="5" t="s">
        <v>17</v>
      </c>
      <c r="B13" s="9" t="n">
        <v>1140.46</v>
      </c>
      <c r="C13" s="9"/>
      <c r="D13" s="9"/>
    </row>
    <row r="14" customFormat="false" ht="22.35" hidden="false" customHeight="false" outlineLevel="0" collapsed="false">
      <c r="A14" s="5" t="s">
        <v>18</v>
      </c>
      <c r="B14" s="8" t="n">
        <v>0.2381</v>
      </c>
      <c r="C14" s="8"/>
      <c r="D14" s="8"/>
      <c r="E14" s="7" t="s">
        <v>19</v>
      </c>
    </row>
    <row r="15" customFormat="false" ht="15" hidden="false" customHeight="false" outlineLevel="0" collapsed="false">
      <c r="A15" s="5" t="s">
        <v>20</v>
      </c>
      <c r="B15" s="8" t="n">
        <v>0.0025</v>
      </c>
      <c r="C15" s="8"/>
      <c r="D15" s="8"/>
      <c r="E15" s="7" t="s">
        <v>21</v>
      </c>
    </row>
    <row r="16" customFormat="false" ht="15" hidden="false" customHeight="false" outlineLevel="0" collapsed="false">
      <c r="A16" s="5" t="s">
        <v>22</v>
      </c>
      <c r="B16" s="9" t="n">
        <v>79.92</v>
      </c>
      <c r="C16" s="9"/>
      <c r="D16" s="9"/>
    </row>
    <row r="17" customFormat="false" ht="15" hidden="false" customHeight="false" outlineLevel="0" collapsed="false">
      <c r="A17" s="5" t="s">
        <v>23</v>
      </c>
      <c r="B17" s="9" t="n">
        <v>153.45</v>
      </c>
      <c r="C17" s="9"/>
      <c r="D17" s="9"/>
    </row>
    <row r="18" customFormat="false" ht="15" hidden="false" customHeight="false" outlineLevel="0" collapsed="false">
      <c r="A18" s="5" t="s">
        <v>24</v>
      </c>
      <c r="B18" s="10" t="n">
        <f aca="false">(B13+B13*B14+B13*B15+B16)*12</f>
        <v>17937.296112</v>
      </c>
      <c r="C18" s="10"/>
      <c r="D18" s="10"/>
    </row>
    <row r="19" customFormat="false" ht="15" hidden="false" customHeight="false" outlineLevel="0" collapsed="false">
      <c r="A19" s="5" t="s">
        <v>25</v>
      </c>
      <c r="B19" s="10" t="n">
        <f aca="false">(B13+B13*B14+B13*B15+B16+B17)*12</f>
        <v>19778.696112</v>
      </c>
      <c r="C19" s="10"/>
      <c r="D19" s="10"/>
    </row>
    <row r="21" customFormat="false" ht="15" hidden="false" customHeight="false" outlineLevel="0" collapsed="false">
      <c r="A21" s="3" t="s">
        <v>26</v>
      </c>
      <c r="B21" s="3"/>
      <c r="C21" s="3"/>
      <c r="D21" s="3"/>
      <c r="E21" s="3"/>
    </row>
    <row r="22" customFormat="false" ht="15" hidden="false" customHeight="false" outlineLevel="0" collapsed="false">
      <c r="A22" s="4" t="s">
        <v>15</v>
      </c>
      <c r="B22" s="4" t="s">
        <v>27</v>
      </c>
      <c r="C22" s="4" t="s">
        <v>28</v>
      </c>
      <c r="D22" s="4" t="s">
        <v>29</v>
      </c>
      <c r="E22" s="4" t="s">
        <v>5</v>
      </c>
    </row>
    <row r="23" customFormat="false" ht="15" hidden="false" customHeight="false" outlineLevel="0" collapsed="false">
      <c r="A23" s="5" t="s">
        <v>30</v>
      </c>
      <c r="B23" s="9" t="n">
        <v>18</v>
      </c>
      <c r="C23" s="9" t="n">
        <v>18</v>
      </c>
      <c r="D23" s="9" t="n">
        <v>18</v>
      </c>
    </row>
    <row r="24" customFormat="false" ht="15" hidden="false" customHeight="false" outlineLevel="0" collapsed="false">
      <c r="A24" s="5" t="s">
        <v>31</v>
      </c>
      <c r="B24" s="11" t="n">
        <v>369</v>
      </c>
      <c r="C24" s="11" t="n">
        <v>389</v>
      </c>
      <c r="D24" s="11" t="n">
        <v>409</v>
      </c>
      <c r="E24" s="7" t="s">
        <v>32</v>
      </c>
    </row>
    <row r="25" customFormat="false" ht="15" hidden="false" customHeight="false" outlineLevel="0" collapsed="false">
      <c r="A25" s="5" t="s">
        <v>33</v>
      </c>
      <c r="B25" s="12" t="n">
        <f aca="false">B23*B24</f>
        <v>6642</v>
      </c>
      <c r="C25" s="12" t="n">
        <f aca="false">C23*C24</f>
        <v>7002</v>
      </c>
      <c r="D25" s="12" t="n">
        <f aca="false">D23*D24</f>
        <v>7362</v>
      </c>
    </row>
    <row r="27" customFormat="false" ht="15" hidden="false" customHeight="false" outlineLevel="0" collapsed="false">
      <c r="A27" s="5" t="s">
        <v>34</v>
      </c>
      <c r="B27" s="9" t="n">
        <v>14</v>
      </c>
      <c r="C27" s="9" t="n">
        <v>14</v>
      </c>
      <c r="D27" s="9" t="n">
        <v>14</v>
      </c>
    </row>
    <row r="28" customFormat="false" ht="15" hidden="false" customHeight="false" outlineLevel="0" collapsed="false">
      <c r="A28" s="5" t="s">
        <v>35</v>
      </c>
      <c r="B28" s="11" t="n">
        <v>0</v>
      </c>
      <c r="C28" s="11" t="n">
        <v>276</v>
      </c>
      <c r="D28" s="11" t="n">
        <v>552</v>
      </c>
      <c r="E28" s="7" t="s">
        <v>36</v>
      </c>
    </row>
    <row r="29" customFormat="false" ht="15" hidden="false" customHeight="false" outlineLevel="0" collapsed="false">
      <c r="A29" s="5" t="s">
        <v>37</v>
      </c>
      <c r="B29" s="12" t="n">
        <f aca="false">B27*B28</f>
        <v>0</v>
      </c>
      <c r="C29" s="12" t="n">
        <f aca="false">C27*C28</f>
        <v>3864</v>
      </c>
      <c r="D29" s="12" t="n">
        <f aca="false">D27*D28</f>
        <v>7728</v>
      </c>
    </row>
    <row r="31" customFormat="false" ht="15" hidden="false" customHeight="false" outlineLevel="0" collapsed="false">
      <c r="A31" s="5" t="s">
        <v>38</v>
      </c>
      <c r="B31" s="13" t="n">
        <f aca="false">B24+B28</f>
        <v>369</v>
      </c>
      <c r="C31" s="13" t="n">
        <f aca="false">C24+C28</f>
        <v>665</v>
      </c>
      <c r="D31" s="13" t="n">
        <f aca="false">D24+D28</f>
        <v>961</v>
      </c>
    </row>
    <row r="32" customFormat="false" ht="15" hidden="false" customHeight="false" outlineLevel="0" collapsed="false">
      <c r="A32" s="5" t="s">
        <v>39</v>
      </c>
      <c r="B32" s="10" t="n">
        <f aca="false">B25+B29</f>
        <v>6642</v>
      </c>
      <c r="C32" s="10" t="n">
        <f aca="false">C25+C29</f>
        <v>10866</v>
      </c>
      <c r="D32" s="10" t="n">
        <f aca="false">D25+D29</f>
        <v>15090</v>
      </c>
    </row>
    <row r="33" customFormat="false" ht="15" hidden="false" customHeight="false" outlineLevel="0" collapsed="false">
      <c r="A33" s="5" t="s">
        <v>40</v>
      </c>
      <c r="B33" s="12" t="n">
        <f aca="false">B32-$B$18</f>
        <v>-11295.296112</v>
      </c>
      <c r="C33" s="12" t="n">
        <f aca="false">C32-$B$18</f>
        <v>-7071.296112</v>
      </c>
      <c r="D33" s="12" t="n">
        <f aca="false">D32-$B$18</f>
        <v>-2847.296112</v>
      </c>
      <c r="E33" s="7" t="s">
        <v>41</v>
      </c>
    </row>
    <row r="34" customFormat="false" ht="15" hidden="false" customHeight="false" outlineLevel="0" collapsed="false">
      <c r="A34" s="5" t="s">
        <v>42</v>
      </c>
      <c r="B34" s="12" t="n">
        <f aca="false">B32-$B$19</f>
        <v>-13136.696112</v>
      </c>
      <c r="C34" s="12" t="n">
        <f aca="false">C32-$B$19</f>
        <v>-8912.696112</v>
      </c>
      <c r="D34" s="12" t="n">
        <f aca="false">D32-$B$19</f>
        <v>-4688.696112</v>
      </c>
      <c r="E34" s="7" t="s">
        <v>43</v>
      </c>
    </row>
    <row r="36" customFormat="false" ht="15" hidden="false" customHeight="false" outlineLevel="0" collapsed="false">
      <c r="A36" s="3" t="s">
        <v>44</v>
      </c>
      <c r="B36" s="3"/>
      <c r="C36" s="3"/>
      <c r="D36" s="3"/>
      <c r="E36" s="3"/>
    </row>
    <row r="37" customFormat="false" ht="15" hidden="false" customHeight="false" outlineLevel="0" collapsed="false">
      <c r="A37" s="4" t="s">
        <v>15</v>
      </c>
      <c r="B37" s="4" t="s">
        <v>27</v>
      </c>
      <c r="C37" s="4" t="s">
        <v>28</v>
      </c>
      <c r="D37" s="4" t="s">
        <v>29</v>
      </c>
      <c r="E37" s="4" t="s">
        <v>5</v>
      </c>
    </row>
    <row r="38" customFormat="false" ht="15" hidden="false" customHeight="false" outlineLevel="0" collapsed="false">
      <c r="A38" s="5" t="s">
        <v>45</v>
      </c>
      <c r="B38" s="12" t="n">
        <f aca="false">B25*$B$6+B29*$B$7</f>
        <v>5180.76</v>
      </c>
      <c r="C38" s="12" t="n">
        <f aca="false">C25*$B$6+C29*$B$7</f>
        <v>8050.44</v>
      </c>
      <c r="D38" s="12" t="n">
        <f aca="false">D25*$B$6+D29*$B$7</f>
        <v>10920.12</v>
      </c>
      <c r="E38" s="7" t="s">
        <v>46</v>
      </c>
    </row>
    <row r="39" customFormat="false" ht="15" hidden="false" customHeight="false" outlineLevel="0" collapsed="false">
      <c r="A39" s="5" t="s">
        <v>47</v>
      </c>
      <c r="B39" s="12" t="n">
        <f aca="false">B38*$B$8</f>
        <v>1350.624132</v>
      </c>
      <c r="C39" s="12" t="n">
        <f aca="false">C38*$B$8</f>
        <v>2098.749708</v>
      </c>
      <c r="D39" s="12" t="n">
        <f aca="false">D38*$B$8</f>
        <v>2846.875284</v>
      </c>
    </row>
    <row r="40" customFormat="false" ht="22.35" hidden="false" customHeight="false" outlineLevel="0" collapsed="false">
      <c r="A40" s="5" t="s">
        <v>48</v>
      </c>
      <c r="B40" s="12" t="n">
        <f aca="false">(B38-B39)*$B$9</f>
        <v>191.5067934</v>
      </c>
      <c r="C40" s="12" t="n">
        <f aca="false">(C38-C39)*$B$9</f>
        <v>297.5845146</v>
      </c>
      <c r="D40" s="12" t="n">
        <f aca="false">(D38-D39)*$B$9</f>
        <v>403.6622358</v>
      </c>
      <c r="E40" s="7" t="s">
        <v>49</v>
      </c>
    </row>
    <row r="41" customFormat="false" ht="15" hidden="false" customHeight="false" outlineLevel="0" collapsed="false">
      <c r="A41" s="5" t="s">
        <v>50</v>
      </c>
      <c r="B41" s="10" t="n">
        <f aca="false">B39+B40</f>
        <v>1542.1309254</v>
      </c>
      <c r="C41" s="10" t="n">
        <f aca="false">C39+C40</f>
        <v>2396.3342226</v>
      </c>
      <c r="D41" s="10" t="n">
        <f aca="false">D39+D40</f>
        <v>3250.5375198</v>
      </c>
    </row>
    <row r="43" customFormat="false" ht="15" hidden="false" customHeight="false" outlineLevel="0" collapsed="false">
      <c r="A43" s="5" t="s">
        <v>51</v>
      </c>
      <c r="B43" s="14" t="n">
        <f aca="false">B38-B41</f>
        <v>3638.6290746</v>
      </c>
      <c r="C43" s="14" t="n">
        <f aca="false">C38-C41</f>
        <v>5654.1057774</v>
      </c>
      <c r="D43" s="14" t="n">
        <f aca="false">D38-D41</f>
        <v>7669.5824802</v>
      </c>
    </row>
    <row r="44" customFormat="false" ht="15" hidden="false" customHeight="false" outlineLevel="0" collapsed="false">
      <c r="A44" s="5" t="s">
        <v>52</v>
      </c>
      <c r="B44" s="14" t="n">
        <f aca="false">B43/12</f>
        <v>303.21908955</v>
      </c>
      <c r="C44" s="14" t="n">
        <f aca="false">C43/12</f>
        <v>471.17548145</v>
      </c>
      <c r="D44" s="14" t="n">
        <f aca="false">D43/12</f>
        <v>639.13187335</v>
      </c>
    </row>
    <row r="46" customFormat="false" ht="15" hidden="false" customHeight="false" outlineLevel="0" collapsed="false">
      <c r="A46" s="3" t="s">
        <v>53</v>
      </c>
      <c r="B46" s="3"/>
      <c r="C46" s="3"/>
      <c r="D46" s="3"/>
      <c r="E46" s="3"/>
    </row>
    <row r="47" customFormat="false" ht="15" hidden="false" customHeight="false" outlineLevel="0" collapsed="false">
      <c r="A47" s="4" t="s">
        <v>15</v>
      </c>
      <c r="B47" s="4" t="s">
        <v>27</v>
      </c>
      <c r="C47" s="4" t="s">
        <v>28</v>
      </c>
      <c r="D47" s="4" t="s">
        <v>29</v>
      </c>
      <c r="E47" s="4" t="s">
        <v>5</v>
      </c>
    </row>
    <row r="48" customFormat="false" ht="15" hidden="false" customHeight="false" outlineLevel="0" collapsed="false">
      <c r="A48" s="5" t="s">
        <v>54</v>
      </c>
      <c r="B48" s="14" t="n">
        <f aca="false">B43/B31</f>
        <v>9.8607834</v>
      </c>
      <c r="C48" s="14" t="n">
        <f aca="false">C43/C31</f>
        <v>8.50241470285714</v>
      </c>
      <c r="D48" s="14" t="n">
        <f aca="false">D43/D31</f>
        <v>7.98083504703434</v>
      </c>
    </row>
    <row r="49" customFormat="false" ht="15" hidden="false" customHeight="false" outlineLevel="0" collapsed="false">
      <c r="A49" s="5" t="s">
        <v>55</v>
      </c>
      <c r="B49" s="15" t="n">
        <f aca="false">B43/B32</f>
        <v>0.5478213</v>
      </c>
      <c r="C49" s="15" t="n">
        <f aca="false">C43/C32</f>
        <v>0.520348405797902</v>
      </c>
      <c r="D49" s="15" t="n">
        <f aca="false">D43/D32</f>
        <v>0.508255962902585</v>
      </c>
      <c r="E49" s="7" t="s">
        <v>56</v>
      </c>
    </row>
  </sheetData>
  <mergeCells count="20">
    <mergeCell ref="A1:E1"/>
    <mergeCell ref="A2:E2"/>
    <mergeCell ref="A4:E4"/>
    <mergeCell ref="B5:D5"/>
    <mergeCell ref="B6:D6"/>
    <mergeCell ref="B7:D7"/>
    <mergeCell ref="B8:D8"/>
    <mergeCell ref="B9:D9"/>
    <mergeCell ref="A11:E11"/>
    <mergeCell ref="B12:D12"/>
    <mergeCell ref="B13:D13"/>
    <mergeCell ref="B14:D14"/>
    <mergeCell ref="B15:D15"/>
    <mergeCell ref="B16:D16"/>
    <mergeCell ref="B17:D17"/>
    <mergeCell ref="B18:D18"/>
    <mergeCell ref="B19:D19"/>
    <mergeCell ref="A21:E21"/>
    <mergeCell ref="A36:E36"/>
    <mergeCell ref="A46:E46"/>
  </mergeCells>
  <conditionalFormatting sqref="B33:D33">
    <cfRule type="cellIs" priority="2" operator="greaterThanOrEqual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B34:D34">
    <cfRule type="cellIs" priority="4" operator="greaterThanOrEqual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9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5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57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58</v>
      </c>
      <c r="B2" s="2"/>
      <c r="C2" s="2"/>
      <c r="D2" s="2"/>
      <c r="E2" s="2"/>
    </row>
    <row r="4" customFormat="false" ht="15" hidden="false" customHeight="false" outlineLevel="0" collapsed="false">
      <c r="A4" s="3" t="s">
        <v>59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4" t="s">
        <v>4</v>
      </c>
      <c r="C5" s="4"/>
      <c r="D5" s="4"/>
      <c r="E5" s="4" t="s">
        <v>5</v>
      </c>
    </row>
    <row r="6" customFormat="false" ht="22.35" hidden="false" customHeight="false" outlineLevel="0" collapsed="false">
      <c r="A6" s="5" t="s">
        <v>60</v>
      </c>
      <c r="B6" s="6" t="n">
        <v>0.1</v>
      </c>
      <c r="C6" s="6"/>
      <c r="D6" s="6"/>
      <c r="E6" s="7" t="s">
        <v>61</v>
      </c>
    </row>
    <row r="7" customFormat="false" ht="15" hidden="false" customHeight="false" outlineLevel="0" collapsed="false">
      <c r="A7" s="5" t="s">
        <v>10</v>
      </c>
      <c r="B7" s="8" t="n">
        <v>0.2607</v>
      </c>
      <c r="C7" s="8"/>
      <c r="D7" s="8"/>
      <c r="E7" s="7" t="s">
        <v>62</v>
      </c>
    </row>
    <row r="8" customFormat="false" ht="22.35" hidden="false" customHeight="false" outlineLevel="0" collapsed="false">
      <c r="A8" s="5" t="s">
        <v>63</v>
      </c>
      <c r="B8" s="16" t="n">
        <v>5500</v>
      </c>
      <c r="C8" s="16"/>
      <c r="D8" s="16"/>
      <c r="E8" s="7" t="s">
        <v>64</v>
      </c>
    </row>
    <row r="9" customFormat="false" ht="15" hidden="false" customHeight="false" outlineLevel="0" collapsed="false">
      <c r="A9" s="5" t="s">
        <v>65</v>
      </c>
      <c r="B9" s="16" t="n">
        <v>28000</v>
      </c>
      <c r="C9" s="16"/>
      <c r="D9" s="16"/>
    </row>
    <row r="10" customFormat="false" ht="15" hidden="false" customHeight="false" outlineLevel="0" collapsed="false">
      <c r="A10" s="5" t="s">
        <v>66</v>
      </c>
      <c r="B10" s="6" t="n">
        <v>0.23</v>
      </c>
      <c r="C10" s="6"/>
      <c r="D10" s="6"/>
    </row>
    <row r="11" customFormat="false" ht="15" hidden="false" customHeight="false" outlineLevel="0" collapsed="false">
      <c r="A11" s="5" t="s">
        <v>67</v>
      </c>
      <c r="B11" s="16" t="n">
        <v>50000</v>
      </c>
      <c r="C11" s="16"/>
      <c r="D11" s="16"/>
    </row>
    <row r="12" customFormat="false" ht="15" hidden="false" customHeight="false" outlineLevel="0" collapsed="false">
      <c r="A12" s="5" t="s">
        <v>68</v>
      </c>
      <c r="B12" s="6" t="n">
        <v>0.33</v>
      </c>
      <c r="C12" s="6"/>
      <c r="D12" s="6"/>
      <c r="E12" s="7" t="s">
        <v>69</v>
      </c>
    </row>
    <row r="13" customFormat="false" ht="15" hidden="false" customHeight="false" outlineLevel="0" collapsed="false">
      <c r="A13" s="5" t="s">
        <v>70</v>
      </c>
      <c r="B13" s="6" t="n">
        <v>0.43</v>
      </c>
      <c r="C13" s="6"/>
      <c r="D13" s="6"/>
    </row>
    <row r="14" customFormat="false" ht="15" hidden="false" customHeight="false" outlineLevel="0" collapsed="false">
      <c r="A14" s="5" t="s">
        <v>71</v>
      </c>
      <c r="B14" s="8" t="n">
        <v>0.0173</v>
      </c>
      <c r="C14" s="8"/>
      <c r="D14" s="8"/>
      <c r="E14" s="7" t="s">
        <v>72</v>
      </c>
    </row>
    <row r="15" customFormat="false" ht="15" hidden="false" customHeight="false" outlineLevel="0" collapsed="false">
      <c r="A15" s="5" t="s">
        <v>73</v>
      </c>
      <c r="B15" s="8" t="n">
        <v>0.007</v>
      </c>
      <c r="C15" s="8"/>
      <c r="D15" s="8"/>
      <c r="E15" s="7" t="s">
        <v>74</v>
      </c>
    </row>
    <row r="16" customFormat="false" ht="22.35" hidden="false" customHeight="false" outlineLevel="0" collapsed="false">
      <c r="A16" s="5" t="s">
        <v>75</v>
      </c>
      <c r="B16" s="6" t="n">
        <v>0.22</v>
      </c>
      <c r="C16" s="6"/>
      <c r="D16" s="6"/>
      <c r="E16" s="7" t="s">
        <v>76</v>
      </c>
    </row>
    <row r="18" customFormat="false" ht="15" hidden="false" customHeight="false" outlineLevel="0" collapsed="false">
      <c r="A18" s="3" t="s">
        <v>77</v>
      </c>
      <c r="B18" s="3"/>
      <c r="C18" s="3"/>
      <c r="D18" s="3"/>
      <c r="E18" s="3"/>
    </row>
    <row r="19" customFormat="false" ht="15" hidden="false" customHeight="false" outlineLevel="0" collapsed="false">
      <c r="A19" s="4" t="s">
        <v>15</v>
      </c>
      <c r="B19" s="4" t="s">
        <v>27</v>
      </c>
      <c r="C19" s="4" t="s">
        <v>28</v>
      </c>
      <c r="D19" s="4" t="s">
        <v>29</v>
      </c>
      <c r="E19" s="4" t="s">
        <v>5</v>
      </c>
    </row>
    <row r="20" customFormat="false" ht="15" hidden="false" customHeight="false" outlineLevel="0" collapsed="false">
      <c r="A20" s="5" t="s">
        <v>78</v>
      </c>
      <c r="B20" s="9" t="n">
        <v>18</v>
      </c>
      <c r="C20" s="9" t="n">
        <v>18</v>
      </c>
      <c r="D20" s="9" t="n">
        <v>18</v>
      </c>
      <c r="E20" s="7" t="s">
        <v>79</v>
      </c>
    </row>
    <row r="21" customFormat="false" ht="15" hidden="false" customHeight="false" outlineLevel="0" collapsed="false">
      <c r="A21" s="5" t="s">
        <v>80</v>
      </c>
      <c r="B21" s="17" t="n">
        <f aca="false">'Rate Explorer'!B24</f>
        <v>369</v>
      </c>
      <c r="C21" s="17" t="n">
        <f aca="false">'Rate Explorer'!C24</f>
        <v>389</v>
      </c>
      <c r="D21" s="17" t="n">
        <f aca="false">'Rate Explorer'!D24</f>
        <v>409</v>
      </c>
      <c r="E21" s="7" t="s">
        <v>81</v>
      </c>
    </row>
    <row r="22" customFormat="false" ht="15" hidden="false" customHeight="false" outlineLevel="0" collapsed="false">
      <c r="A22" s="5" t="s">
        <v>82</v>
      </c>
      <c r="B22" s="12" t="n">
        <f aca="false">B20*B21</f>
        <v>6642</v>
      </c>
      <c r="C22" s="12" t="n">
        <f aca="false">C20*C21</f>
        <v>7002</v>
      </c>
      <c r="D22" s="12" t="n">
        <f aca="false">D20*D21</f>
        <v>7362</v>
      </c>
    </row>
    <row r="24" customFormat="false" ht="15" hidden="false" customHeight="false" outlineLevel="0" collapsed="false">
      <c r="A24" s="5" t="s">
        <v>83</v>
      </c>
      <c r="B24" s="9" t="n">
        <v>14</v>
      </c>
      <c r="C24" s="9" t="n">
        <v>14</v>
      </c>
      <c r="D24" s="9" t="n">
        <v>14</v>
      </c>
      <c r="E24" s="7" t="s">
        <v>79</v>
      </c>
    </row>
    <row r="25" customFormat="false" ht="15" hidden="false" customHeight="false" outlineLevel="0" collapsed="false">
      <c r="A25" s="5" t="s">
        <v>84</v>
      </c>
      <c r="B25" s="17" t="n">
        <f aca="false">'Rate Explorer'!B28</f>
        <v>0</v>
      </c>
      <c r="C25" s="17" t="n">
        <f aca="false">'Rate Explorer'!C28</f>
        <v>276</v>
      </c>
      <c r="D25" s="17" t="n">
        <f aca="false">'Rate Explorer'!D28</f>
        <v>552</v>
      </c>
      <c r="E25" s="7" t="s">
        <v>85</v>
      </c>
    </row>
    <row r="26" customFormat="false" ht="15" hidden="false" customHeight="false" outlineLevel="0" collapsed="false">
      <c r="A26" s="5" t="s">
        <v>86</v>
      </c>
      <c r="B26" s="12" t="n">
        <f aca="false">B24*B25</f>
        <v>0</v>
      </c>
      <c r="C26" s="12" t="n">
        <f aca="false">C24*C25</f>
        <v>3864</v>
      </c>
      <c r="D26" s="12" t="n">
        <f aca="false">D24*D25</f>
        <v>7728</v>
      </c>
    </row>
    <row r="28" customFormat="false" ht="15" hidden="false" customHeight="false" outlineLevel="0" collapsed="false">
      <c r="A28" s="5" t="s">
        <v>87</v>
      </c>
      <c r="B28" s="13" t="n">
        <f aca="false">B21+B25</f>
        <v>369</v>
      </c>
      <c r="C28" s="13" t="n">
        <f aca="false">C21+C25</f>
        <v>665</v>
      </c>
      <c r="D28" s="13" t="n">
        <f aca="false">D21+D25</f>
        <v>961</v>
      </c>
    </row>
    <row r="29" customFormat="false" ht="15" hidden="false" customHeight="false" outlineLevel="0" collapsed="false">
      <c r="A29" s="5" t="s">
        <v>88</v>
      </c>
      <c r="B29" s="10" t="n">
        <f aca="false">B22+B26</f>
        <v>6642</v>
      </c>
      <c r="C29" s="10" t="n">
        <f aca="false">C22+C26</f>
        <v>10866</v>
      </c>
      <c r="D29" s="10" t="n">
        <f aca="false">D22+D26</f>
        <v>15090</v>
      </c>
    </row>
    <row r="30" customFormat="false" ht="22.35" hidden="false" customHeight="false" outlineLevel="0" collapsed="false">
      <c r="A30" s="5" t="s">
        <v>89</v>
      </c>
      <c r="B30" s="12" t="n">
        <f aca="false">B29*(1+$B$16)</f>
        <v>8103.24</v>
      </c>
      <c r="C30" s="12" t="n">
        <f aca="false">C29*(1+$B$16)</f>
        <v>13256.52</v>
      </c>
      <c r="D30" s="12" t="n">
        <f aca="false">D29*(1+$B$16)</f>
        <v>18409.8</v>
      </c>
      <c r="E30" s="7" t="s">
        <v>90</v>
      </c>
    </row>
    <row r="32" customFormat="false" ht="15" hidden="false" customHeight="false" outlineLevel="0" collapsed="false">
      <c r="A32" s="3" t="s">
        <v>91</v>
      </c>
      <c r="B32" s="3"/>
      <c r="C32" s="3"/>
      <c r="D32" s="3"/>
      <c r="E32" s="3"/>
    </row>
    <row r="33" customFormat="false" ht="15" hidden="false" customHeight="false" outlineLevel="0" collapsed="false">
      <c r="A33" s="4" t="s">
        <v>15</v>
      </c>
      <c r="B33" s="4" t="s">
        <v>27</v>
      </c>
      <c r="C33" s="4" t="s">
        <v>28</v>
      </c>
      <c r="D33" s="4" t="s">
        <v>29</v>
      </c>
      <c r="E33" s="4" t="s">
        <v>5</v>
      </c>
    </row>
    <row r="34" customFormat="false" ht="15" hidden="false" customHeight="false" outlineLevel="0" collapsed="false">
      <c r="A34" s="5" t="s">
        <v>92</v>
      </c>
      <c r="B34" s="12" t="n">
        <f aca="false">B29*$B$6</f>
        <v>664.2</v>
      </c>
      <c r="C34" s="12" t="n">
        <f aca="false">C29*$B$6</f>
        <v>1086.6</v>
      </c>
      <c r="D34" s="12" t="n">
        <f aca="false">D29*$B$6</f>
        <v>1509</v>
      </c>
    </row>
    <row r="35" customFormat="false" ht="15" hidden="false" customHeight="false" outlineLevel="0" collapsed="false">
      <c r="A35" s="5" t="s">
        <v>93</v>
      </c>
      <c r="B35" s="10" t="n">
        <f aca="false">B29-B34</f>
        <v>5977.8</v>
      </c>
      <c r="C35" s="10" t="n">
        <f aca="false">C29-C34</f>
        <v>9779.4</v>
      </c>
      <c r="D35" s="10" t="n">
        <f aca="false">D29-D34</f>
        <v>13581</v>
      </c>
    </row>
    <row r="36" customFormat="false" ht="15" hidden="false" customHeight="false" outlineLevel="0" collapsed="false">
      <c r="A36" s="5" t="s">
        <v>47</v>
      </c>
      <c r="B36" s="12" t="n">
        <f aca="false">B35*$B$7</f>
        <v>1558.41246</v>
      </c>
      <c r="C36" s="12" t="n">
        <f aca="false">C35*$B$7</f>
        <v>2549.48958</v>
      </c>
      <c r="D36" s="12" t="n">
        <f aca="false">D35*$B$7</f>
        <v>3540.5667</v>
      </c>
    </row>
    <row r="37" customFormat="false" ht="15" hidden="false" customHeight="false" outlineLevel="0" collapsed="false">
      <c r="A37" s="5" t="s">
        <v>94</v>
      </c>
      <c r="B37" s="12" t="n">
        <f aca="false">B35-B36</f>
        <v>4419.38754</v>
      </c>
      <c r="C37" s="12" t="n">
        <f aca="false">C35-C36</f>
        <v>7229.91042</v>
      </c>
      <c r="D37" s="12" t="n">
        <f aca="false">D35-D36</f>
        <v>10040.4333</v>
      </c>
    </row>
    <row r="38" customFormat="false" ht="15" hidden="false" customHeight="false" outlineLevel="0" collapsed="false">
      <c r="A38" s="5" t="s">
        <v>95</v>
      </c>
      <c r="B38" s="12" t="n">
        <f aca="false">IF(B37&lt;=$B$8,0,MIN(B37,$B$9)*$B$10+MAX(MIN(B37,$B$11)-$B$9,0)*$B$12+MAX(B37-$B$11,0)*$B$13)</f>
        <v>0</v>
      </c>
      <c r="C38" s="12" t="n">
        <f aca="false">IF(C37&lt;=$B$8,0,MIN(C37,$B$9)*$B$10+MAX(MIN(C37,$B$11)-$B$9,0)*$B$12+MAX(C37-$B$11,0)*$B$13)</f>
        <v>1662.8793966</v>
      </c>
      <c r="D38" s="12" t="n">
        <f aca="false">IF(D37&lt;=$B$8,0,MIN(D37,$B$9)*$B$10+MAX(MIN(D37,$B$11)-$B$9,0)*$B$12+MAX(D37-$B$11,0)*$B$13)</f>
        <v>2309.299659</v>
      </c>
      <c r="E38" s="7" t="s">
        <v>96</v>
      </c>
    </row>
    <row r="39" customFormat="false" ht="15" hidden="false" customHeight="false" outlineLevel="0" collapsed="false">
      <c r="A39" s="5" t="s">
        <v>97</v>
      </c>
      <c r="B39" s="12" t="n">
        <f aca="false">IF(B37&lt;=$B$8,0,B37*($B$14+$B$15))</f>
        <v>0</v>
      </c>
      <c r="C39" s="12" t="n">
        <f aca="false">IF(C37&lt;=$B$8,0,C37*($B$14+$B$15))</f>
        <v>175.686823206</v>
      </c>
      <c r="D39" s="12" t="n">
        <f aca="false">IF(D37&lt;=$B$8,0,D37*($B$14+$B$15))</f>
        <v>243.98252919</v>
      </c>
    </row>
    <row r="40" customFormat="false" ht="15" hidden="false" customHeight="false" outlineLevel="0" collapsed="false">
      <c r="A40" s="5" t="s">
        <v>98</v>
      </c>
      <c r="B40" s="10" t="n">
        <f aca="false">B38+B39</f>
        <v>0</v>
      </c>
      <c r="C40" s="10" t="n">
        <f aca="false">C38+C39</f>
        <v>1838.566219806</v>
      </c>
      <c r="D40" s="10" t="n">
        <f aca="false">D38+D39</f>
        <v>2553.28218819</v>
      </c>
    </row>
    <row r="42" customFormat="false" ht="15" hidden="false" customHeight="false" outlineLevel="0" collapsed="false">
      <c r="A42" s="5" t="s">
        <v>51</v>
      </c>
      <c r="B42" s="14" t="n">
        <f aca="false">B35-B36-B40</f>
        <v>4419.38754</v>
      </c>
      <c r="C42" s="14" t="n">
        <f aca="false">C35-C36-C40</f>
        <v>5391.344200194</v>
      </c>
      <c r="D42" s="14" t="n">
        <f aca="false">D35-D36-D40</f>
        <v>7487.15111181</v>
      </c>
    </row>
    <row r="43" customFormat="false" ht="15" hidden="false" customHeight="false" outlineLevel="0" collapsed="false">
      <c r="A43" s="5" t="s">
        <v>52</v>
      </c>
      <c r="B43" s="14" t="n">
        <f aca="false">B42/12</f>
        <v>368.282295</v>
      </c>
      <c r="C43" s="14" t="n">
        <f aca="false">C42/12</f>
        <v>449.2786833495</v>
      </c>
      <c r="D43" s="14" t="n">
        <f aca="false">D42/12</f>
        <v>623.9292593175</v>
      </c>
    </row>
    <row r="45" customFormat="false" ht="15" hidden="false" customHeight="false" outlineLevel="0" collapsed="false">
      <c r="A45" s="3" t="s">
        <v>99</v>
      </c>
      <c r="B45" s="3"/>
      <c r="C45" s="3"/>
      <c r="D45" s="3"/>
      <c r="E45" s="3"/>
    </row>
    <row r="46" customFormat="false" ht="15" hidden="false" customHeight="false" outlineLevel="0" collapsed="false">
      <c r="A46" s="4" t="s">
        <v>15</v>
      </c>
      <c r="B46" s="4" t="s">
        <v>27</v>
      </c>
      <c r="C46" s="4" t="s">
        <v>28</v>
      </c>
      <c r="D46" s="4" t="s">
        <v>29</v>
      </c>
      <c r="E46" s="4" t="s">
        <v>5</v>
      </c>
    </row>
    <row r="47" customFormat="false" ht="15" hidden="false" customHeight="false" outlineLevel="0" collapsed="false">
      <c r="A47" s="5" t="s">
        <v>100</v>
      </c>
      <c r="B47" s="12" t="n">
        <f aca="false">B29-'Rate Explorer'!$B$18</f>
        <v>-11295.296112</v>
      </c>
      <c r="C47" s="12" t="n">
        <f aca="false">C29-'Rate Explorer'!$B$18</f>
        <v>-7071.296112</v>
      </c>
      <c r="D47" s="12" t="n">
        <f aca="false">D29-'Rate Explorer'!$B$18</f>
        <v>-2847.296112</v>
      </c>
      <c r="E47" s="7" t="s">
        <v>101</v>
      </c>
    </row>
    <row r="48" customFormat="false" ht="15" hidden="false" customHeight="false" outlineLevel="0" collapsed="false">
      <c r="A48" s="5" t="s">
        <v>102</v>
      </c>
      <c r="B48" s="12" t="n">
        <f aca="false">B29-'Rate Explorer'!$B$19</f>
        <v>-13136.696112</v>
      </c>
      <c r="C48" s="12" t="n">
        <f aca="false">C29-'Rate Explorer'!$B$19</f>
        <v>-8912.696112</v>
      </c>
      <c r="D48" s="12" t="n">
        <f aca="false">D29-'Rate Explorer'!$B$19</f>
        <v>-4688.696112</v>
      </c>
      <c r="E48" s="7" t="s">
        <v>103</v>
      </c>
    </row>
    <row r="50" customFormat="false" ht="15" hidden="false" customHeight="false" outlineLevel="0" collapsed="false">
      <c r="A50" s="3" t="s">
        <v>53</v>
      </c>
      <c r="B50" s="3"/>
      <c r="C50" s="3"/>
      <c r="D50" s="3"/>
      <c r="E50" s="3"/>
    </row>
    <row r="51" customFormat="false" ht="15" hidden="false" customHeight="false" outlineLevel="0" collapsed="false">
      <c r="A51" s="4" t="s">
        <v>15</v>
      </c>
      <c r="B51" s="4" t="s">
        <v>27</v>
      </c>
      <c r="C51" s="4" t="s">
        <v>28</v>
      </c>
      <c r="D51" s="4" t="s">
        <v>29</v>
      </c>
      <c r="E51" s="4" t="s">
        <v>5</v>
      </c>
    </row>
    <row r="52" customFormat="false" ht="15" hidden="false" customHeight="false" outlineLevel="0" collapsed="false">
      <c r="A52" s="5" t="s">
        <v>104</v>
      </c>
      <c r="B52" s="14" t="n">
        <f aca="false">B42/B28</f>
        <v>11.97666</v>
      </c>
      <c r="C52" s="14" t="n">
        <f aca="false">C42/C28</f>
        <v>8.10728451156993</v>
      </c>
      <c r="D52" s="14" t="n">
        <f aca="false">D42/D28</f>
        <v>7.79100011634756</v>
      </c>
    </row>
    <row r="53" customFormat="false" ht="15" hidden="false" customHeight="false" outlineLevel="0" collapsed="false">
      <c r="A53" s="5" t="s">
        <v>55</v>
      </c>
      <c r="B53" s="15" t="n">
        <f aca="false">B42/B29</f>
        <v>0.66537</v>
      </c>
      <c r="C53" s="15" t="n">
        <f aca="false">C42/C29</f>
        <v>0.496166409</v>
      </c>
      <c r="D53" s="15" t="n">
        <f aca="false">D42/D29</f>
        <v>0.496166409</v>
      </c>
    </row>
    <row r="55" customFormat="false" ht="15" hidden="false" customHeight="false" outlineLevel="0" collapsed="false">
      <c r="A55" s="3" t="s">
        <v>105</v>
      </c>
      <c r="B55" s="3"/>
      <c r="C55" s="3"/>
      <c r="D55" s="3"/>
      <c r="E55" s="3"/>
    </row>
    <row r="56" customFormat="false" ht="15" hidden="false" customHeight="false" outlineLevel="0" collapsed="false">
      <c r="A56" s="4" t="s">
        <v>15</v>
      </c>
      <c r="B56" s="4" t="s">
        <v>27</v>
      </c>
      <c r="C56" s="4" t="s">
        <v>28</v>
      </c>
      <c r="D56" s="4" t="s">
        <v>29</v>
      </c>
      <c r="E56" s="4" t="s">
        <v>5</v>
      </c>
    </row>
    <row r="57" customFormat="false" ht="15" hidden="false" customHeight="false" outlineLevel="0" collapsed="false">
      <c r="A57" s="5" t="s">
        <v>106</v>
      </c>
      <c r="B57" s="12" t="n">
        <f aca="false">'Rate Explorer'!B43</f>
        <v>3638.6290746</v>
      </c>
      <c r="C57" s="12" t="n">
        <f aca="false">'Rate Explorer'!C43</f>
        <v>5654.1057774</v>
      </c>
      <c r="D57" s="12" t="n">
        <f aca="false">'Rate Explorer'!D43</f>
        <v>7669.5824802</v>
      </c>
      <c r="E57" s="7" t="s">
        <v>107</v>
      </c>
    </row>
    <row r="58" customFormat="false" ht="15" hidden="false" customHeight="false" outlineLevel="0" collapsed="false">
      <c r="A58" s="5" t="s">
        <v>108</v>
      </c>
      <c r="B58" s="12" t="n">
        <f aca="false">B42</f>
        <v>4419.38754</v>
      </c>
      <c r="C58" s="12" t="n">
        <f aca="false">C42</f>
        <v>5391.344200194</v>
      </c>
      <c r="D58" s="12" t="n">
        <f aca="false">D42</f>
        <v>7487.15111181</v>
      </c>
      <c r="E58" s="7" t="s">
        <v>109</v>
      </c>
    </row>
    <row r="59" customFormat="false" ht="22.35" hidden="false" customHeight="false" outlineLevel="0" collapsed="false">
      <c r="A59" s="5" t="s">
        <v>110</v>
      </c>
      <c r="B59" s="10" t="n">
        <f aca="false">B58-B57</f>
        <v>780.758465399999</v>
      </c>
      <c r="C59" s="10" t="n">
        <f aca="false">C58-C57</f>
        <v>-262.761577206</v>
      </c>
      <c r="D59" s="10" t="n">
        <f aca="false">D58-D57</f>
        <v>-182.43136839</v>
      </c>
      <c r="E59" s="7" t="s">
        <v>111</v>
      </c>
    </row>
    <row r="60" customFormat="false" ht="15" hidden="false" customHeight="false" outlineLevel="0" collapsed="false">
      <c r="A60" s="5" t="s">
        <v>112</v>
      </c>
      <c r="B60" s="18" t="str">
        <f aca="false">IF(B59&gt;=0,"Ordinario","Forfettario")</f>
        <v>Ordinario</v>
      </c>
      <c r="C60" s="18" t="str">
        <f aca="false">IF(C59&gt;=0,"Ordinario","Forfettario")</f>
        <v>Forfettario</v>
      </c>
      <c r="D60" s="18" t="str">
        <f aca="false">IF(D59&gt;=0,"Ordinario","Forfettario")</f>
        <v>Forfettario</v>
      </c>
    </row>
  </sheetData>
  <mergeCells count="20">
    <mergeCell ref="A1:E1"/>
    <mergeCell ref="A2:E2"/>
    <mergeCell ref="A4:E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A18:E18"/>
    <mergeCell ref="A32:E32"/>
    <mergeCell ref="A45:E45"/>
    <mergeCell ref="A50:E50"/>
    <mergeCell ref="A55:E55"/>
  </mergeCells>
  <conditionalFormatting sqref="B47:D47">
    <cfRule type="cellIs" priority="2" operator="greaterThanOrEqual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B48:D48">
    <cfRule type="cellIs" priority="4" operator="greaterThanOrEqual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B59:D59">
    <cfRule type="cellIs" priority="6" operator="greaterThanOrEqual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2026-06-29T09:45:27Z</dcterms:created>
  <dc:creator>openpyxl</dc:creator>
  <dc:description/>
  <dc:language>en-US</dc:language>
  <cp:lastModifiedBy/>
  <dcterms:modified xsi:type="dcterms:W3CDTF">2026-06-29T09:45:27Z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